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gotlaptopparts.com/Portafolio-Titulo-MaCoFa/FASE1/DOCS/EVIDENCIAS_GRUPALES/ENTREGABLES/"/>
    </mc:Choice>
  </mc:AlternateContent>
  <xr:revisionPtr revIDLastSave="0" documentId="13_ncr:1_{4B7E4F8C-6DEB-6344-930F-31E922A85D34}" xr6:coauthVersionLast="47" xr6:coauthVersionMax="47" xr10:uidLastSave="{00000000-0000-0000-0000-000000000000}"/>
  <bookViews>
    <workbookView xWindow="0" yWindow="500" windowWidth="35840" windowHeight="20440" xr2:uid="{00000000-000D-0000-FFFF-FFFF00000000}"/>
  </bookViews>
  <sheets>
    <sheet name="EDT" sheetId="1" r:id="rId1"/>
    <sheet name="Costos Fas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Dy/DENlDh5z8zA3RSThAi5izNAnBbVufUTiFCY0+bcM="/>
    </ext>
  </extLst>
</workbook>
</file>

<file path=xl/calcChain.xml><?xml version="1.0" encoding="utf-8"?>
<calcChain xmlns="http://schemas.openxmlformats.org/spreadsheetml/2006/main">
  <c r="F49" i="2" l="1"/>
  <c r="I27" i="2" s="1"/>
  <c r="F48" i="2"/>
  <c r="F47" i="2"/>
  <c r="F46" i="2"/>
  <c r="F45" i="2"/>
  <c r="F44" i="2"/>
  <c r="F43" i="2"/>
  <c r="F39" i="2"/>
  <c r="I26" i="2" s="1"/>
  <c r="F38" i="2"/>
  <c r="F37" i="2"/>
  <c r="F36" i="2"/>
  <c r="F35" i="2"/>
  <c r="F34" i="2"/>
  <c r="F33" i="2"/>
  <c r="F29" i="2"/>
  <c r="I25" i="2" s="1"/>
  <c r="F28" i="2"/>
  <c r="F27" i="2"/>
  <c r="F26" i="2"/>
  <c r="F25" i="2"/>
  <c r="F24" i="2"/>
  <c r="F23" i="2"/>
  <c r="I13" i="2" s="1"/>
  <c r="F19" i="2"/>
  <c r="I24" i="2" s="1"/>
  <c r="I18" i="2"/>
  <c r="F18" i="2"/>
  <c r="F17" i="2"/>
  <c r="I17" i="2" s="1"/>
  <c r="F16" i="2"/>
  <c r="I16" i="2" s="1"/>
  <c r="F15" i="2"/>
  <c r="F14" i="2"/>
  <c r="I14" i="2" s="1"/>
  <c r="F13" i="2"/>
  <c r="O9" i="2"/>
  <c r="F9" i="2"/>
  <c r="I23" i="2" s="1"/>
  <c r="O8" i="2"/>
  <c r="L8" i="2"/>
  <c r="F8" i="2"/>
  <c r="O7" i="2"/>
  <c r="N7" i="2"/>
  <c r="M7" i="2"/>
  <c r="L7" i="2"/>
  <c r="F7" i="2"/>
  <c r="O6" i="2"/>
  <c r="L6" i="2"/>
  <c r="F6" i="2"/>
  <c r="O5" i="2"/>
  <c r="N5" i="2"/>
  <c r="M5" i="2"/>
  <c r="L5" i="2"/>
  <c r="F5" i="2"/>
  <c r="I15" i="2" s="1"/>
  <c r="O4" i="2"/>
  <c r="F4" i="2"/>
  <c r="F3" i="2"/>
  <c r="I29" i="2" l="1"/>
  <c r="I19" i="2"/>
  <c r="I33" i="2" l="1"/>
  <c r="I34" i="2" s="1"/>
</calcChain>
</file>

<file path=xl/sharedStrings.xml><?xml version="1.0" encoding="utf-8"?>
<sst xmlns="http://schemas.openxmlformats.org/spreadsheetml/2006/main" count="368" uniqueCount="152">
  <si>
    <t>Matriz Estructura de descomposición de tareas EDT</t>
  </si>
  <si>
    <t>Etapas</t>
  </si>
  <si>
    <t>Semanas</t>
  </si>
  <si>
    <t>HORAS POR ACTIVIDAD O ENTREGABLE</t>
  </si>
  <si>
    <t>DICCIONARIO EDT</t>
  </si>
  <si>
    <t>Fase de Planificación</t>
  </si>
  <si>
    <t>Jefe de Proyecto</t>
  </si>
  <si>
    <t>Analista Programador</t>
  </si>
  <si>
    <t>DBA</t>
  </si>
  <si>
    <t>QA</t>
  </si>
  <si>
    <t>Diseñador</t>
  </si>
  <si>
    <t>PMO</t>
  </si>
  <si>
    <t>ROL ACTOR</t>
  </si>
  <si>
    <t>NOMBRE ACTOR</t>
  </si>
  <si>
    <t>CALCULOS SUELDO</t>
  </si>
  <si>
    <t>Acta de Constitución de proyecto</t>
  </si>
  <si>
    <t>S1-S2</t>
  </si>
  <si>
    <t>8hrs</t>
  </si>
  <si>
    <t xml:space="preserve">Jefe de Proyecto </t>
  </si>
  <si>
    <t>Matias Acuna -</t>
  </si>
  <si>
    <t>Sueldo por hora= $1416</t>
  </si>
  <si>
    <t>Organización del equipo</t>
  </si>
  <si>
    <t>S3</t>
  </si>
  <si>
    <t>2hrs</t>
  </si>
  <si>
    <t>2h</t>
  </si>
  <si>
    <t>Fabian Carrasco</t>
  </si>
  <si>
    <t>Valor por hora = $8.523</t>
  </si>
  <si>
    <t>Definición de requerimientos Generales</t>
  </si>
  <si>
    <t>Matias Acuna</t>
  </si>
  <si>
    <t>Valor por hora =$7.689</t>
  </si>
  <si>
    <t>Aprobación acta de constitución</t>
  </si>
  <si>
    <t>4hrs</t>
  </si>
  <si>
    <t>Constanza Munoz</t>
  </si>
  <si>
    <t>Valor por hora = $6.666</t>
  </si>
  <si>
    <t>Total primera Fase</t>
  </si>
  <si>
    <t>18hrs</t>
  </si>
  <si>
    <t>14hrs</t>
  </si>
  <si>
    <t>Valor por hora =$7.582</t>
  </si>
  <si>
    <t>Fase de Análisis y diseño</t>
  </si>
  <si>
    <t>Valor por hora  =$14.583</t>
  </si>
  <si>
    <t xml:space="preserve">Captura de requerimientos específicos </t>
  </si>
  <si>
    <t>S3-S4</t>
  </si>
  <si>
    <t>Documento de arquitectura SW</t>
  </si>
  <si>
    <t>S3 -S4-S5</t>
  </si>
  <si>
    <t>Documento de casos de uso</t>
  </si>
  <si>
    <t>Prototipos</t>
  </si>
  <si>
    <t>S4 - S5</t>
  </si>
  <si>
    <t>10hrs</t>
  </si>
  <si>
    <t>Propuesta ERS</t>
  </si>
  <si>
    <t>S5</t>
  </si>
  <si>
    <t>Total Segunda Fase</t>
  </si>
  <si>
    <t>44hrs</t>
  </si>
  <si>
    <t>Fase de Desarrollo</t>
  </si>
  <si>
    <t>Implementación ambiente de desarrollo</t>
  </si>
  <si>
    <t>S6</t>
  </si>
  <si>
    <t>Scripts de base de datos (tablas, relaciones)</t>
  </si>
  <si>
    <t>S6-S7</t>
  </si>
  <si>
    <t>Desarrollo sistema de registro de usuarios</t>
  </si>
  <si>
    <t>S7</t>
  </si>
  <si>
    <t>Desarrollo sistem de autenticacion y roles</t>
  </si>
  <si>
    <t>S7-S8</t>
  </si>
  <si>
    <t>Desarrollo Catalogo de productos filtrables</t>
  </si>
  <si>
    <t>S8-S9</t>
  </si>
  <si>
    <t>Desarrollo flujo carro de compras</t>
  </si>
  <si>
    <t>Desarrollo de sistema de pedidos y seguimiento</t>
  </si>
  <si>
    <t>S9</t>
  </si>
  <si>
    <t>Desarrollo BackOffice sistema de registro de usuarios</t>
  </si>
  <si>
    <t>S9-S10</t>
  </si>
  <si>
    <t>Desarrollo BackOffice sistema de autenticacion y roles</t>
  </si>
  <si>
    <t>S10-S11</t>
  </si>
  <si>
    <t>Desarrollo BackOffice catalogo de productos filtrables</t>
  </si>
  <si>
    <t>Desarrollo BackOffice flujo carro de compras</t>
  </si>
  <si>
    <t>S11-S12-S13</t>
  </si>
  <si>
    <t>12hrs</t>
  </si>
  <si>
    <t>Desarrollo BackOffice sistema de pedidos y seguimiento</t>
  </si>
  <si>
    <t>S13-S14</t>
  </si>
  <si>
    <t>Notificaciones por correo (registro, compra, estado pedido)</t>
  </si>
  <si>
    <t>S14- S15</t>
  </si>
  <si>
    <t>6hrs</t>
  </si>
  <si>
    <t>Reportes PDF/XLS</t>
  </si>
  <si>
    <t>S14-S15</t>
  </si>
  <si>
    <t>Total Tercera Fase</t>
  </si>
  <si>
    <t>64hrs</t>
  </si>
  <si>
    <t>40hrs</t>
  </si>
  <si>
    <t>Fase de Pruebas y QA</t>
  </si>
  <si>
    <t>Implementación ambiente de pruebas</t>
  </si>
  <si>
    <t>S15</t>
  </si>
  <si>
    <t>Pruebas Funcionales</t>
  </si>
  <si>
    <t>S15-s16</t>
  </si>
  <si>
    <t>Pruebas de integración</t>
  </si>
  <si>
    <t>s16-s17</t>
  </si>
  <si>
    <t>Pruebas con Usuarios</t>
  </si>
  <si>
    <t>S17</t>
  </si>
  <si>
    <t>Total Cuarta Fase</t>
  </si>
  <si>
    <t>28hrs</t>
  </si>
  <si>
    <t>Fase de implementación y cierre</t>
  </si>
  <si>
    <t>Migración del sistema a producción</t>
  </si>
  <si>
    <t>Capacitaciones</t>
  </si>
  <si>
    <t>Manuales Usuario</t>
  </si>
  <si>
    <t>Acta cierre de proyecto</t>
  </si>
  <si>
    <t>Entrega final + documentación + presentación</t>
  </si>
  <si>
    <t>Total Quinta Fase</t>
  </si>
  <si>
    <t>22hrs</t>
  </si>
  <si>
    <t>16hrs</t>
  </si>
  <si>
    <t>SIGLA</t>
  </si>
  <si>
    <t>ROL</t>
  </si>
  <si>
    <t>NOMBRE</t>
  </si>
  <si>
    <t>VALOR HORA HH</t>
  </si>
  <si>
    <t>HORAS</t>
  </si>
  <si>
    <t>FASE PLANIFICACION</t>
  </si>
  <si>
    <t>COSTO POR HORA</t>
  </si>
  <si>
    <t>SUELDO MES</t>
  </si>
  <si>
    <t>JP</t>
  </si>
  <si>
    <t>Matias Acuña</t>
  </si>
  <si>
    <t>COSTO x HORA</t>
  </si>
  <si>
    <t>Sueldo Agos</t>
  </si>
  <si>
    <t>Sueldo Sep</t>
  </si>
  <si>
    <t>Sueldo Oct</t>
  </si>
  <si>
    <t>Sueldo Nov</t>
  </si>
  <si>
    <t>Sueldo Dic</t>
  </si>
  <si>
    <t>AP</t>
  </si>
  <si>
    <t>Desarrollador BD</t>
  </si>
  <si>
    <t>Calidad Y Testing</t>
  </si>
  <si>
    <t>Constanza Muñoz</t>
  </si>
  <si>
    <t>Administrador BD</t>
  </si>
  <si>
    <t>DG</t>
  </si>
  <si>
    <t>Diseño</t>
  </si>
  <si>
    <t>Project Managment</t>
  </si>
  <si>
    <t>TOTAL FASE PLANIFICACION</t>
  </si>
  <si>
    <t xml:space="preserve">VALOR HORA HH </t>
  </si>
  <si>
    <t>FASE DISEÑO</t>
  </si>
  <si>
    <t>COSTO HH POR ROL</t>
  </si>
  <si>
    <t>DI</t>
  </si>
  <si>
    <t>PM</t>
  </si>
  <si>
    <t>TOTAL FASE DISEÑO</t>
  </si>
  <si>
    <t>TOTAL HH</t>
  </si>
  <si>
    <t>FASE DESARROLLO</t>
  </si>
  <si>
    <t>COSTO POR FASE</t>
  </si>
  <si>
    <t>Fase de Análisis y Diseño</t>
  </si>
  <si>
    <t>Fase de QA</t>
  </si>
  <si>
    <t>Fase de Implementación y Cierre</t>
  </si>
  <si>
    <t>Constabza Muñoz</t>
  </si>
  <si>
    <t>TOTAL FASE DESARROLLO</t>
  </si>
  <si>
    <t>TOTAL HH FASES</t>
  </si>
  <si>
    <t>FASE PRUEBAS QA</t>
  </si>
  <si>
    <t xml:space="preserve">Margen </t>
  </si>
  <si>
    <t>UTILIDAD</t>
  </si>
  <si>
    <t>PRECIO FINAL</t>
  </si>
  <si>
    <t>TOTAL FASE PRUEBAS QA</t>
  </si>
  <si>
    <t>FASE IMPLEMENTACION Y CIERRE</t>
  </si>
  <si>
    <t>TOTAL FASE IMPLEMENTACION</t>
  </si>
  <si>
    <t>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</si>
</sst>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\-0\ "/>
    <numFmt numFmtId="165" formatCode="_ &quot;$&quot;* #,##0_ ;_ &quot;$&quot;* \-#,##0_ ;_ &quot;$&quot;* &quot;-&quot;_ ;_ @_ "/>
  </numFmts>
  <fonts count="8" x14ac:knownFonts="1">
    <font>
      <sz val="11"/>
      <color theme="1"/>
      <name val="Calibri"/>
      <scheme val="minor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2"/>
      <color theme="1"/>
      <name val="Calibri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DB9CA"/>
        <bgColor rgb="FFADB9CA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4" xfId="0" applyFont="1" applyBorder="1"/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8" xfId="0" applyFon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9" xfId="0" applyFont="1" applyFill="1" applyBorder="1"/>
    <xf numFmtId="9" fontId="3" fillId="0" borderId="4" xfId="0" applyNumberFormat="1" applyFont="1" applyBorder="1" applyAlignment="1">
      <alignment horizontal="center"/>
    </xf>
    <xf numFmtId="0" fontId="3" fillId="0" borderId="0" xfId="0" applyFont="1"/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4" fillId="4" borderId="10" xfId="0" applyFont="1" applyFill="1" applyBorder="1"/>
    <xf numFmtId="0" fontId="5" fillId="0" borderId="0" xfId="0" applyFont="1"/>
    <xf numFmtId="0" fontId="4" fillId="4" borderId="5" xfId="0" applyFont="1" applyFill="1" applyBorder="1"/>
    <xf numFmtId="0" fontId="3" fillId="0" borderId="4" xfId="0" applyFont="1" applyBorder="1" applyAlignment="1">
      <alignment horizontal="left" vertical="top" wrapText="1"/>
    </xf>
    <xf numFmtId="0" fontId="4" fillId="4" borderId="9" xfId="0" applyFont="1" applyFill="1" applyBorder="1" applyAlignment="1">
      <alignment horizontal="left"/>
    </xf>
    <xf numFmtId="9" fontId="3" fillId="0" borderId="4" xfId="0" applyNumberFormat="1" applyFont="1" applyBorder="1"/>
    <xf numFmtId="164" fontId="3" fillId="0" borderId="4" xfId="0" applyNumberFormat="1" applyFont="1" applyBorder="1"/>
    <xf numFmtId="165" fontId="3" fillId="0" borderId="4" xfId="0" applyNumberFormat="1" applyFont="1" applyBorder="1"/>
    <xf numFmtId="0" fontId="5" fillId="0" borderId="4" xfId="0" applyFont="1" applyBorder="1"/>
    <xf numFmtId="0" fontId="6" fillId="5" borderId="4" xfId="0" applyFont="1" applyFill="1" applyBorder="1"/>
    <xf numFmtId="165" fontId="6" fillId="5" borderId="4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5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3" fillId="3" borderId="11" xfId="0" applyFont="1" applyFill="1" applyBorder="1" applyAlignment="1">
      <alignment horizontal="center"/>
    </xf>
    <xf numFmtId="0" fontId="2" fillId="0" borderId="12" xfId="0" applyFont="1" applyBorder="1"/>
    <xf numFmtId="0" fontId="2" fillId="0" borderId="13" xfId="0" applyFon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0"/>
  <sheetViews>
    <sheetView tabSelected="1" workbookViewId="0">
      <selection activeCell="L30" sqref="L30"/>
    </sheetView>
  </sheetViews>
  <sheetFormatPr baseColWidth="10" defaultColWidth="14.5" defaultRowHeight="15" customHeight="1" outlineLevelRow="1" x14ac:dyDescent="0.2"/>
  <cols>
    <col min="1" max="1" width="49.5" customWidth="1"/>
    <col min="2" max="2" width="9.5" customWidth="1"/>
    <col min="3" max="3" width="10.6640625" customWidth="1"/>
    <col min="4" max="4" width="12.83203125" customWidth="1"/>
    <col min="5" max="5" width="9.1640625" customWidth="1"/>
    <col min="6" max="6" width="8.1640625" customWidth="1"/>
    <col min="7" max="8" width="12" customWidth="1"/>
    <col min="9" max="9" width="11.5" customWidth="1"/>
    <col min="10" max="11" width="16" customWidth="1"/>
    <col min="12" max="12" width="23.33203125" customWidth="1"/>
    <col min="13" max="15" width="31.5" customWidth="1"/>
    <col min="16" max="31" width="10.6640625" customWidth="1"/>
  </cols>
  <sheetData>
    <row r="1" spans="1:15" ht="14.25" customHeight="1" x14ac:dyDescent="0.2">
      <c r="A1" s="34" t="s">
        <v>151</v>
      </c>
    </row>
    <row r="2" spans="1:15" ht="14.25" customHeight="1" x14ac:dyDescent="0.25">
      <c r="A2" s="25" t="s">
        <v>0</v>
      </c>
      <c r="B2" s="26"/>
      <c r="C2" s="26"/>
      <c r="D2" s="27"/>
    </row>
    <row r="3" spans="1:15" ht="14.25" customHeight="1" x14ac:dyDescent="0.2"/>
    <row r="4" spans="1:15" ht="14.25" customHeight="1" x14ac:dyDescent="0.2">
      <c r="A4" s="1" t="s">
        <v>1</v>
      </c>
      <c r="B4" s="2" t="s">
        <v>2</v>
      </c>
      <c r="C4" s="28" t="s">
        <v>3</v>
      </c>
      <c r="D4" s="29"/>
      <c r="E4" s="29"/>
      <c r="F4" s="29"/>
      <c r="G4" s="30"/>
      <c r="H4" s="2"/>
      <c r="L4" s="28" t="s">
        <v>4</v>
      </c>
      <c r="M4" s="30"/>
      <c r="N4" s="2"/>
      <c r="O4" s="3"/>
    </row>
    <row r="5" spans="1:15" ht="14.25" customHeight="1" x14ac:dyDescent="0.2">
      <c r="A5" s="4" t="s">
        <v>5</v>
      </c>
      <c r="B5" s="5"/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L5" s="7" t="s">
        <v>12</v>
      </c>
      <c r="M5" s="7" t="s">
        <v>13</v>
      </c>
      <c r="N5" s="7" t="s">
        <v>14</v>
      </c>
      <c r="O5" s="8"/>
    </row>
    <row r="6" spans="1:15" ht="14.25" customHeight="1" outlineLevel="1" x14ac:dyDescent="0.2">
      <c r="A6" s="9" t="s">
        <v>15</v>
      </c>
      <c r="B6" s="1" t="s">
        <v>16</v>
      </c>
      <c r="C6" s="2" t="s">
        <v>17</v>
      </c>
      <c r="D6" s="2"/>
      <c r="E6" s="2"/>
      <c r="F6" s="10"/>
      <c r="G6" s="2"/>
      <c r="H6" s="2" t="s">
        <v>17</v>
      </c>
      <c r="L6" s="1" t="s">
        <v>18</v>
      </c>
      <c r="M6" s="1" t="s">
        <v>19</v>
      </c>
      <c r="N6" s="1" t="s">
        <v>20</v>
      </c>
      <c r="O6" s="11"/>
    </row>
    <row r="7" spans="1:15" ht="14.25" customHeight="1" outlineLevel="1" x14ac:dyDescent="0.2">
      <c r="A7" s="9" t="s">
        <v>21</v>
      </c>
      <c r="B7" s="1" t="s">
        <v>22</v>
      </c>
      <c r="C7" s="2" t="s">
        <v>23</v>
      </c>
      <c r="D7" s="2" t="s">
        <v>23</v>
      </c>
      <c r="E7" s="2" t="s">
        <v>24</v>
      </c>
      <c r="F7" s="2" t="s">
        <v>23</v>
      </c>
      <c r="G7" s="2" t="s">
        <v>24</v>
      </c>
      <c r="H7" s="2" t="s">
        <v>24</v>
      </c>
      <c r="L7" s="1" t="s">
        <v>7</v>
      </c>
      <c r="M7" s="12" t="s">
        <v>25</v>
      </c>
      <c r="N7" s="12" t="s">
        <v>26</v>
      </c>
      <c r="O7" s="13"/>
    </row>
    <row r="8" spans="1:15" ht="14.25" customHeight="1" outlineLevel="1" x14ac:dyDescent="0.2">
      <c r="A8" s="9" t="s">
        <v>27</v>
      </c>
      <c r="B8" s="1" t="s">
        <v>22</v>
      </c>
      <c r="C8" s="2" t="s">
        <v>17</v>
      </c>
      <c r="D8" s="10"/>
      <c r="E8" s="2"/>
      <c r="F8" s="10"/>
      <c r="G8" s="2"/>
      <c r="H8" s="2"/>
      <c r="L8" s="1" t="s">
        <v>8</v>
      </c>
      <c r="M8" s="1" t="s">
        <v>28</v>
      </c>
      <c r="N8" s="1" t="s">
        <v>29</v>
      </c>
      <c r="O8" s="11"/>
    </row>
    <row r="9" spans="1:15" ht="14.25" customHeight="1" outlineLevel="1" x14ac:dyDescent="0.2">
      <c r="A9" s="9" t="s">
        <v>30</v>
      </c>
      <c r="B9" s="1" t="s">
        <v>22</v>
      </c>
      <c r="C9" s="10"/>
      <c r="D9" s="10"/>
      <c r="E9" s="2"/>
      <c r="F9" s="10"/>
      <c r="G9" s="2"/>
      <c r="H9" s="2" t="s">
        <v>31</v>
      </c>
      <c r="L9" s="1" t="s">
        <v>9</v>
      </c>
      <c r="M9" s="1" t="s">
        <v>32</v>
      </c>
      <c r="N9" s="1" t="s">
        <v>33</v>
      </c>
      <c r="O9" s="11"/>
    </row>
    <row r="10" spans="1:15" ht="14.25" customHeight="1" outlineLevel="1" x14ac:dyDescent="0.2">
      <c r="A10" s="1" t="s">
        <v>34</v>
      </c>
      <c r="B10" s="1"/>
      <c r="C10" s="2" t="s">
        <v>35</v>
      </c>
      <c r="D10" s="2" t="s">
        <v>23</v>
      </c>
      <c r="E10" s="2" t="s">
        <v>23</v>
      </c>
      <c r="F10" s="2" t="s">
        <v>23</v>
      </c>
      <c r="G10" s="2" t="s">
        <v>23</v>
      </c>
      <c r="H10" s="2" t="s">
        <v>36</v>
      </c>
      <c r="L10" s="1" t="s">
        <v>10</v>
      </c>
      <c r="M10" s="1" t="s">
        <v>28</v>
      </c>
      <c r="N10" s="1" t="s">
        <v>37</v>
      </c>
      <c r="O10" s="11"/>
    </row>
    <row r="11" spans="1:15" ht="14.25" customHeight="1" x14ac:dyDescent="0.2">
      <c r="A11" s="5" t="s">
        <v>38</v>
      </c>
      <c r="B11" s="5"/>
      <c r="C11" s="6" t="s">
        <v>6</v>
      </c>
      <c r="D11" s="6" t="s">
        <v>7</v>
      </c>
      <c r="E11" s="6" t="s">
        <v>8</v>
      </c>
      <c r="F11" s="6" t="s">
        <v>9</v>
      </c>
      <c r="G11" s="6" t="s">
        <v>10</v>
      </c>
      <c r="H11" s="6" t="s">
        <v>11</v>
      </c>
      <c r="L11" s="1" t="s">
        <v>11</v>
      </c>
      <c r="M11" s="1" t="s">
        <v>32</v>
      </c>
      <c r="N11" s="1" t="s">
        <v>39</v>
      </c>
      <c r="O11" s="11"/>
    </row>
    <row r="12" spans="1:15" ht="14.25" customHeight="1" outlineLevel="1" x14ac:dyDescent="0.2">
      <c r="A12" s="9" t="s">
        <v>40</v>
      </c>
      <c r="B12" s="1" t="s">
        <v>41</v>
      </c>
      <c r="C12" s="10"/>
      <c r="D12" s="10"/>
      <c r="E12" s="2"/>
      <c r="F12" s="10"/>
      <c r="G12" s="2" t="s">
        <v>17</v>
      </c>
      <c r="H12" s="10"/>
    </row>
    <row r="13" spans="1:15" ht="14.25" customHeight="1" outlineLevel="1" x14ac:dyDescent="0.2">
      <c r="A13" s="14" t="s">
        <v>42</v>
      </c>
      <c r="B13" s="1" t="s">
        <v>43</v>
      </c>
      <c r="C13" s="10"/>
      <c r="D13" s="2" t="s">
        <v>36</v>
      </c>
      <c r="E13" s="2"/>
      <c r="F13" s="10"/>
      <c r="G13" s="2" t="s">
        <v>36</v>
      </c>
      <c r="H13" s="10"/>
      <c r="L13" s="15"/>
      <c r="M13" s="15"/>
      <c r="N13" s="15"/>
      <c r="O13" s="15"/>
    </row>
    <row r="14" spans="1:15" ht="14.25" customHeight="1" outlineLevel="1" x14ac:dyDescent="0.2">
      <c r="A14" s="9" t="s">
        <v>44</v>
      </c>
      <c r="B14" s="1" t="s">
        <v>41</v>
      </c>
      <c r="C14" s="10"/>
      <c r="D14" s="2"/>
      <c r="E14" s="2"/>
      <c r="F14" s="10"/>
      <c r="G14" s="2" t="s">
        <v>17</v>
      </c>
      <c r="H14" s="10"/>
    </row>
    <row r="15" spans="1:15" ht="14.25" customHeight="1" outlineLevel="1" x14ac:dyDescent="0.2">
      <c r="A15" s="9" t="s">
        <v>45</v>
      </c>
      <c r="B15" s="1" t="s">
        <v>46</v>
      </c>
      <c r="C15" s="10"/>
      <c r="D15" s="2"/>
      <c r="E15" s="2"/>
      <c r="F15" s="10"/>
      <c r="G15" s="2" t="s">
        <v>47</v>
      </c>
      <c r="H15" s="10"/>
    </row>
    <row r="16" spans="1:15" ht="14.25" customHeight="1" outlineLevel="1" x14ac:dyDescent="0.2">
      <c r="A16" s="9" t="s">
        <v>48</v>
      </c>
      <c r="B16" s="1" t="s">
        <v>49</v>
      </c>
      <c r="C16" s="2" t="s">
        <v>31</v>
      </c>
      <c r="D16" s="2"/>
      <c r="E16" s="2"/>
      <c r="F16" s="10"/>
      <c r="G16" s="2" t="s">
        <v>31</v>
      </c>
      <c r="H16" s="2" t="s">
        <v>23</v>
      </c>
    </row>
    <row r="17" spans="1:8" ht="14.25" customHeight="1" outlineLevel="1" x14ac:dyDescent="0.2">
      <c r="A17" s="1" t="s">
        <v>50</v>
      </c>
      <c r="B17" s="1"/>
      <c r="C17" s="2" t="s">
        <v>31</v>
      </c>
      <c r="D17" s="2" t="s">
        <v>36</v>
      </c>
      <c r="E17" s="2"/>
      <c r="F17" s="2"/>
      <c r="G17" s="2" t="s">
        <v>51</v>
      </c>
      <c r="H17" s="2" t="s">
        <v>23</v>
      </c>
    </row>
    <row r="18" spans="1:8" ht="14.25" customHeight="1" x14ac:dyDescent="0.2">
      <c r="A18" s="5" t="s">
        <v>52</v>
      </c>
      <c r="B18" s="5"/>
      <c r="C18" s="6" t="s">
        <v>6</v>
      </c>
      <c r="D18" s="6" t="s">
        <v>7</v>
      </c>
      <c r="E18" s="6" t="s">
        <v>8</v>
      </c>
      <c r="F18" s="6" t="s">
        <v>9</v>
      </c>
      <c r="G18" s="6" t="s">
        <v>10</v>
      </c>
      <c r="H18" s="6" t="s">
        <v>11</v>
      </c>
    </row>
    <row r="19" spans="1:8" ht="18" customHeight="1" outlineLevel="1" x14ac:dyDescent="0.2">
      <c r="A19" s="9" t="s">
        <v>53</v>
      </c>
      <c r="B19" s="1" t="s">
        <v>54</v>
      </c>
      <c r="C19" s="2"/>
      <c r="D19" s="2" t="s">
        <v>47</v>
      </c>
      <c r="E19" s="10"/>
      <c r="F19" s="10"/>
      <c r="G19" s="2"/>
      <c r="H19" s="2"/>
    </row>
    <row r="20" spans="1:8" ht="18" customHeight="1" outlineLevel="1" x14ac:dyDescent="0.2">
      <c r="A20" s="9" t="s">
        <v>55</v>
      </c>
      <c r="B20" s="1" t="s">
        <v>56</v>
      </c>
      <c r="C20" s="10"/>
      <c r="D20" s="10"/>
      <c r="E20" s="2" t="s">
        <v>17</v>
      </c>
      <c r="F20" s="10"/>
      <c r="G20" s="2"/>
      <c r="H20" s="2"/>
    </row>
    <row r="21" spans="1:8" ht="18" customHeight="1" outlineLevel="1" x14ac:dyDescent="0.2">
      <c r="A21" s="9" t="s">
        <v>57</v>
      </c>
      <c r="B21" s="1" t="s">
        <v>58</v>
      </c>
      <c r="C21" s="10"/>
      <c r="D21" s="2" t="s">
        <v>31</v>
      </c>
      <c r="E21" s="10"/>
      <c r="F21" s="2" t="s">
        <v>23</v>
      </c>
      <c r="G21" s="2"/>
      <c r="H21" s="2"/>
    </row>
    <row r="22" spans="1:8" ht="18" customHeight="1" outlineLevel="1" x14ac:dyDescent="0.2">
      <c r="A22" s="9" t="s">
        <v>59</v>
      </c>
      <c r="B22" s="1" t="s">
        <v>60</v>
      </c>
      <c r="C22" s="10"/>
      <c r="D22" s="2" t="s">
        <v>17</v>
      </c>
      <c r="E22" s="10"/>
      <c r="F22" s="2" t="s">
        <v>31</v>
      </c>
      <c r="G22" s="2"/>
      <c r="H22" s="2"/>
    </row>
    <row r="23" spans="1:8" ht="18" customHeight="1" outlineLevel="1" x14ac:dyDescent="0.2">
      <c r="A23" s="9" t="s">
        <v>61</v>
      </c>
      <c r="B23" s="1" t="s">
        <v>62</v>
      </c>
      <c r="C23" s="10"/>
      <c r="D23" s="2" t="s">
        <v>31</v>
      </c>
      <c r="E23" s="10"/>
      <c r="F23" s="2" t="s">
        <v>23</v>
      </c>
      <c r="G23" s="2"/>
      <c r="H23" s="2"/>
    </row>
    <row r="24" spans="1:8" ht="18" customHeight="1" outlineLevel="1" x14ac:dyDescent="0.2">
      <c r="A24" s="9" t="s">
        <v>63</v>
      </c>
      <c r="B24" s="1" t="s">
        <v>62</v>
      </c>
      <c r="C24" s="10"/>
      <c r="D24" s="2" t="s">
        <v>31</v>
      </c>
      <c r="E24" s="10"/>
      <c r="F24" s="2" t="s">
        <v>23</v>
      </c>
      <c r="G24" s="2"/>
      <c r="H24" s="2"/>
    </row>
    <row r="25" spans="1:8" ht="18" customHeight="1" outlineLevel="1" x14ac:dyDescent="0.2">
      <c r="A25" s="9" t="s">
        <v>64</v>
      </c>
      <c r="B25" s="1" t="s">
        <v>65</v>
      </c>
      <c r="C25" s="10"/>
      <c r="D25" s="2" t="s">
        <v>31</v>
      </c>
      <c r="E25" s="10"/>
      <c r="F25" s="2" t="s">
        <v>31</v>
      </c>
      <c r="G25" s="2"/>
      <c r="H25" s="2"/>
    </row>
    <row r="26" spans="1:8" ht="18" customHeight="1" outlineLevel="1" x14ac:dyDescent="0.2">
      <c r="A26" s="16" t="s">
        <v>66</v>
      </c>
      <c r="B26" s="1" t="s">
        <v>67</v>
      </c>
      <c r="C26" s="10"/>
      <c r="D26" s="2" t="s">
        <v>31</v>
      </c>
      <c r="E26" s="10"/>
      <c r="F26" s="2" t="s">
        <v>23</v>
      </c>
      <c r="G26" s="2"/>
      <c r="H26" s="2"/>
    </row>
    <row r="27" spans="1:8" ht="18" customHeight="1" outlineLevel="1" x14ac:dyDescent="0.2">
      <c r="A27" s="16" t="s">
        <v>68</v>
      </c>
      <c r="B27" s="1" t="s">
        <v>69</v>
      </c>
      <c r="C27" s="10"/>
      <c r="D27" s="2" t="s">
        <v>31</v>
      </c>
      <c r="E27" s="10"/>
      <c r="F27" s="2" t="s">
        <v>31</v>
      </c>
      <c r="G27" s="2"/>
      <c r="H27" s="2"/>
    </row>
    <row r="28" spans="1:8" ht="18" customHeight="1" outlineLevel="1" x14ac:dyDescent="0.2">
      <c r="A28" s="16" t="s">
        <v>70</v>
      </c>
      <c r="B28" s="1" t="s">
        <v>69</v>
      </c>
      <c r="C28" s="10"/>
      <c r="D28" s="2" t="s">
        <v>17</v>
      </c>
      <c r="E28" s="10"/>
      <c r="F28" s="2" t="s">
        <v>31</v>
      </c>
      <c r="G28" s="2"/>
      <c r="H28" s="2"/>
    </row>
    <row r="29" spans="1:8" ht="18" customHeight="1" outlineLevel="1" x14ac:dyDescent="0.2">
      <c r="A29" s="16" t="s">
        <v>71</v>
      </c>
      <c r="B29" s="1" t="s">
        <v>72</v>
      </c>
      <c r="C29" s="10"/>
      <c r="D29" s="2" t="s">
        <v>73</v>
      </c>
      <c r="E29" s="10"/>
      <c r="F29" s="10"/>
      <c r="G29" s="2"/>
      <c r="H29" s="2"/>
    </row>
    <row r="30" spans="1:8" ht="18" customHeight="1" outlineLevel="1" x14ac:dyDescent="0.2">
      <c r="A30" s="16" t="s">
        <v>74</v>
      </c>
      <c r="B30" s="1" t="s">
        <v>75</v>
      </c>
      <c r="C30" s="10"/>
      <c r="D30" s="2" t="s">
        <v>31</v>
      </c>
      <c r="E30" s="10"/>
      <c r="F30" s="2" t="s">
        <v>31</v>
      </c>
      <c r="G30" s="2"/>
      <c r="H30" s="2"/>
    </row>
    <row r="31" spans="1:8" ht="27.75" customHeight="1" outlineLevel="1" x14ac:dyDescent="0.2">
      <c r="A31" s="17" t="s">
        <v>76</v>
      </c>
      <c r="B31" s="1" t="s">
        <v>77</v>
      </c>
      <c r="C31" s="10"/>
      <c r="D31" s="10"/>
      <c r="E31" s="10"/>
      <c r="F31" s="2" t="s">
        <v>78</v>
      </c>
      <c r="G31" s="2"/>
      <c r="H31" s="2"/>
    </row>
    <row r="32" spans="1:8" ht="18" customHeight="1" outlineLevel="1" x14ac:dyDescent="0.2">
      <c r="A32" s="17" t="s">
        <v>79</v>
      </c>
      <c r="B32" s="1" t="s">
        <v>80</v>
      </c>
      <c r="C32" s="10"/>
      <c r="D32" s="10"/>
      <c r="E32" s="10"/>
      <c r="F32" s="2" t="s">
        <v>78</v>
      </c>
      <c r="G32" s="2"/>
      <c r="H32" s="2"/>
    </row>
    <row r="33" spans="1:8" ht="18" customHeight="1" outlineLevel="1" x14ac:dyDescent="0.2">
      <c r="A33" s="17" t="s">
        <v>81</v>
      </c>
      <c r="B33" s="1"/>
      <c r="C33" s="2"/>
      <c r="D33" s="2" t="s">
        <v>82</v>
      </c>
      <c r="E33" s="2" t="s">
        <v>17</v>
      </c>
      <c r="F33" s="2" t="s">
        <v>83</v>
      </c>
      <c r="G33" s="2"/>
      <c r="H33" s="2"/>
    </row>
    <row r="34" spans="1:8" ht="18" customHeight="1" outlineLevel="1" x14ac:dyDescent="0.2">
      <c r="A34" s="17"/>
      <c r="B34" s="1"/>
      <c r="C34" s="10"/>
      <c r="D34" s="10"/>
      <c r="E34" s="10"/>
      <c r="F34" s="10"/>
      <c r="G34" s="2"/>
      <c r="H34" s="2"/>
    </row>
    <row r="35" spans="1:8" ht="14.25" customHeight="1" x14ac:dyDescent="0.2">
      <c r="A35" s="5" t="s">
        <v>84</v>
      </c>
      <c r="B35" s="5"/>
      <c r="C35" s="6" t="s">
        <v>6</v>
      </c>
      <c r="D35" s="6" t="s">
        <v>7</v>
      </c>
      <c r="E35" s="6" t="s">
        <v>8</v>
      </c>
      <c r="F35" s="6" t="s">
        <v>9</v>
      </c>
      <c r="G35" s="6" t="s">
        <v>10</v>
      </c>
      <c r="H35" s="6" t="s">
        <v>11</v>
      </c>
    </row>
    <row r="36" spans="1:8" ht="14.25" customHeight="1" x14ac:dyDescent="0.2">
      <c r="A36" s="18" t="s">
        <v>85</v>
      </c>
      <c r="B36" s="1" t="s">
        <v>86</v>
      </c>
      <c r="C36" s="1"/>
      <c r="D36" s="1"/>
      <c r="E36" s="1"/>
      <c r="F36" s="1" t="s">
        <v>78</v>
      </c>
      <c r="G36" s="1"/>
      <c r="H36" s="19"/>
    </row>
    <row r="37" spans="1:8" ht="14.25" customHeight="1" outlineLevel="1" x14ac:dyDescent="0.2">
      <c r="A37" s="18" t="s">
        <v>87</v>
      </c>
      <c r="B37" s="1" t="s">
        <v>88</v>
      </c>
      <c r="C37" s="1"/>
      <c r="D37" s="1"/>
      <c r="E37" s="1"/>
      <c r="F37" s="1" t="s">
        <v>73</v>
      </c>
      <c r="G37" s="1"/>
      <c r="H37" s="19"/>
    </row>
    <row r="38" spans="1:8" ht="14.25" customHeight="1" outlineLevel="1" x14ac:dyDescent="0.2">
      <c r="A38" s="18" t="s">
        <v>89</v>
      </c>
      <c r="B38" s="1" t="s">
        <v>90</v>
      </c>
      <c r="C38" s="1"/>
      <c r="D38" s="1"/>
      <c r="E38" s="1"/>
      <c r="F38" s="1" t="s">
        <v>78</v>
      </c>
      <c r="G38" s="1"/>
      <c r="H38" s="19"/>
    </row>
    <row r="39" spans="1:8" ht="14.25" customHeight="1" outlineLevel="1" x14ac:dyDescent="0.2">
      <c r="A39" s="18" t="s">
        <v>91</v>
      </c>
      <c r="B39" s="1" t="s">
        <v>92</v>
      </c>
      <c r="C39" s="19"/>
      <c r="D39" s="1"/>
      <c r="E39" s="1"/>
      <c r="F39" s="1" t="s">
        <v>31</v>
      </c>
      <c r="G39" s="1"/>
      <c r="H39" s="19"/>
    </row>
    <row r="40" spans="1:8" ht="14.25" customHeight="1" outlineLevel="1" x14ac:dyDescent="0.2">
      <c r="A40" s="1" t="s">
        <v>93</v>
      </c>
      <c r="B40" s="1"/>
      <c r="C40" s="1"/>
      <c r="D40" s="1"/>
      <c r="E40" s="1"/>
      <c r="F40" s="1" t="s">
        <v>94</v>
      </c>
      <c r="G40" s="1"/>
      <c r="H40" s="1"/>
    </row>
    <row r="41" spans="1:8" ht="14.25" customHeight="1" outlineLevel="1" x14ac:dyDescent="0.2">
      <c r="A41" s="1"/>
      <c r="B41" s="1"/>
      <c r="C41" s="1"/>
      <c r="D41" s="1"/>
      <c r="E41" s="1"/>
      <c r="F41" s="1"/>
      <c r="G41" s="1"/>
      <c r="H41" s="1"/>
    </row>
    <row r="42" spans="1:8" ht="14.25" customHeight="1" outlineLevel="1" x14ac:dyDescent="0.2">
      <c r="A42" s="5" t="s">
        <v>95</v>
      </c>
      <c r="B42" s="5"/>
      <c r="C42" s="6" t="s">
        <v>6</v>
      </c>
      <c r="D42" s="6" t="s">
        <v>7</v>
      </c>
      <c r="E42" s="6" t="s">
        <v>8</v>
      </c>
      <c r="F42" s="6" t="s">
        <v>9</v>
      </c>
      <c r="G42" s="6" t="s">
        <v>10</v>
      </c>
      <c r="H42" s="6" t="s">
        <v>11</v>
      </c>
    </row>
    <row r="43" spans="1:8" ht="14.25" customHeight="1" x14ac:dyDescent="0.2">
      <c r="A43" s="18" t="s">
        <v>96</v>
      </c>
      <c r="B43" s="1"/>
      <c r="C43" s="19"/>
      <c r="D43" s="1" t="s">
        <v>17</v>
      </c>
      <c r="E43" s="1"/>
      <c r="F43" s="19"/>
      <c r="G43" s="1"/>
      <c r="H43" s="1"/>
    </row>
    <row r="44" spans="1:8" ht="14.25" customHeight="1" outlineLevel="1" x14ac:dyDescent="0.2">
      <c r="A44" s="18" t="s">
        <v>97</v>
      </c>
      <c r="B44" s="1"/>
      <c r="C44" s="1"/>
      <c r="D44" s="1" t="s">
        <v>31</v>
      </c>
      <c r="E44" s="1" t="s">
        <v>31</v>
      </c>
      <c r="F44" s="1" t="s">
        <v>31</v>
      </c>
      <c r="G44" s="1"/>
      <c r="H44" s="19"/>
    </row>
    <row r="45" spans="1:8" ht="14.25" customHeight="1" outlineLevel="1" x14ac:dyDescent="0.2">
      <c r="A45" s="18" t="s">
        <v>98</v>
      </c>
      <c r="B45" s="1"/>
      <c r="C45" s="1"/>
      <c r="D45" s="1" t="s">
        <v>47</v>
      </c>
      <c r="E45" s="1"/>
      <c r="F45" s="19"/>
      <c r="G45" s="1"/>
      <c r="H45" s="19"/>
    </row>
    <row r="46" spans="1:8" ht="14.25" customHeight="1" outlineLevel="1" x14ac:dyDescent="0.2">
      <c r="A46" s="18" t="s">
        <v>99</v>
      </c>
      <c r="B46" s="1"/>
      <c r="C46" s="19"/>
      <c r="D46" s="1"/>
      <c r="E46" s="1"/>
      <c r="F46" s="19"/>
      <c r="G46" s="1"/>
      <c r="H46" s="1" t="s">
        <v>47</v>
      </c>
    </row>
    <row r="47" spans="1:8" ht="14.25" customHeight="1" outlineLevel="1" x14ac:dyDescent="0.2">
      <c r="A47" s="1" t="s">
        <v>100</v>
      </c>
      <c r="B47" s="1"/>
      <c r="C47" s="1" t="s">
        <v>78</v>
      </c>
      <c r="D47" s="1" t="s">
        <v>78</v>
      </c>
      <c r="E47" s="1" t="s">
        <v>78</v>
      </c>
      <c r="F47" s="1" t="s">
        <v>78</v>
      </c>
      <c r="G47" s="1" t="s">
        <v>78</v>
      </c>
      <c r="H47" s="1" t="s">
        <v>78</v>
      </c>
    </row>
    <row r="48" spans="1:8" ht="14.25" customHeight="1" x14ac:dyDescent="0.2">
      <c r="A48" s="1" t="s">
        <v>101</v>
      </c>
      <c r="B48" s="1"/>
      <c r="C48" s="1" t="s">
        <v>78</v>
      </c>
      <c r="D48" s="1" t="s">
        <v>102</v>
      </c>
      <c r="E48" s="1" t="s">
        <v>47</v>
      </c>
      <c r="F48" s="1" t="s">
        <v>47</v>
      </c>
      <c r="G48" s="1" t="s">
        <v>78</v>
      </c>
      <c r="H48" s="1" t="s">
        <v>103</v>
      </c>
    </row>
    <row r="49" spans="1:8" ht="14.25" customHeight="1" x14ac:dyDescent="0.2">
      <c r="A49" s="1"/>
      <c r="B49" s="1"/>
      <c r="C49" s="1"/>
      <c r="D49" s="1"/>
      <c r="E49" s="1"/>
      <c r="F49" s="1"/>
      <c r="G49" s="1"/>
      <c r="H49" s="1"/>
    </row>
    <row r="50" spans="1:8" ht="14.25" customHeight="1" x14ac:dyDescent="0.2"/>
    <row r="51" spans="1:8" ht="14.25" customHeight="1" x14ac:dyDescent="0.2"/>
    <row r="52" spans="1:8" ht="14.25" customHeight="1" x14ac:dyDescent="0.2"/>
    <row r="53" spans="1:8" ht="14.25" customHeight="1" x14ac:dyDescent="0.2"/>
    <row r="54" spans="1:8" ht="14.25" customHeight="1" x14ac:dyDescent="0.2"/>
    <row r="55" spans="1:8" ht="14.25" customHeight="1" x14ac:dyDescent="0.2"/>
    <row r="56" spans="1:8" ht="14.25" customHeight="1" x14ac:dyDescent="0.2"/>
    <row r="57" spans="1:8" ht="14.25" customHeight="1" x14ac:dyDescent="0.2"/>
    <row r="58" spans="1:8" ht="14.25" customHeight="1" x14ac:dyDescent="0.2"/>
    <row r="59" spans="1:8" ht="14.25" customHeight="1" x14ac:dyDescent="0.2"/>
    <row r="60" spans="1:8" ht="14.25" customHeight="1" x14ac:dyDescent="0.2"/>
    <row r="61" spans="1:8" ht="14.25" customHeight="1" x14ac:dyDescent="0.2"/>
    <row r="62" spans="1:8" ht="14.25" customHeight="1" x14ac:dyDescent="0.2"/>
    <row r="63" spans="1:8" ht="14.25" customHeight="1" x14ac:dyDescent="0.2"/>
    <row r="64" spans="1:8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</sheetData>
  <mergeCells count="3">
    <mergeCell ref="A2:D2"/>
    <mergeCell ref="C4:G4"/>
    <mergeCell ref="L4:M4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5"/>
  <sheetViews>
    <sheetView workbookViewId="0"/>
  </sheetViews>
  <sheetFormatPr baseColWidth="10" defaultColWidth="14.5" defaultRowHeight="15" customHeight="1" x14ac:dyDescent="0.2"/>
  <cols>
    <col min="1" max="1" width="6.5" customWidth="1"/>
    <col min="2" max="2" width="21" customWidth="1"/>
    <col min="3" max="3" width="40.5" customWidth="1"/>
    <col min="4" max="4" width="10.6640625" customWidth="1"/>
    <col min="5" max="5" width="7.5" customWidth="1"/>
    <col min="6" max="6" width="23.6640625" customWidth="1"/>
    <col min="7" max="7" width="4.83203125" customWidth="1"/>
    <col min="8" max="8" width="23.5" customWidth="1"/>
    <col min="9" max="9" width="31.1640625" customWidth="1"/>
    <col min="10" max="10" width="16" customWidth="1"/>
    <col min="11" max="11" width="15.33203125" customWidth="1"/>
    <col min="12" max="26" width="10.6640625" customWidth="1"/>
  </cols>
  <sheetData>
    <row r="1" spans="1:15" ht="14.25" customHeight="1" x14ac:dyDescent="0.2"/>
    <row r="2" spans="1:15" ht="14.25" customHeight="1" x14ac:dyDescent="0.2">
      <c r="A2" s="7" t="s">
        <v>104</v>
      </c>
      <c r="B2" s="7" t="s">
        <v>105</v>
      </c>
      <c r="C2" s="7" t="s">
        <v>106</v>
      </c>
      <c r="D2" s="6" t="s">
        <v>107</v>
      </c>
      <c r="E2" s="7" t="s">
        <v>108</v>
      </c>
      <c r="F2" s="7" t="s">
        <v>109</v>
      </c>
      <c r="H2" s="31" t="s">
        <v>110</v>
      </c>
      <c r="I2" s="32"/>
      <c r="J2" s="32"/>
      <c r="K2" s="33"/>
      <c r="L2" s="31" t="s">
        <v>111</v>
      </c>
      <c r="M2" s="32"/>
      <c r="N2" s="32"/>
      <c r="O2" s="33"/>
    </row>
    <row r="3" spans="1:15" ht="14.25" customHeight="1" x14ac:dyDescent="0.2">
      <c r="A3" s="1" t="s">
        <v>112</v>
      </c>
      <c r="B3" s="1" t="s">
        <v>6</v>
      </c>
      <c r="C3" s="1" t="s">
        <v>113</v>
      </c>
      <c r="D3" s="1">
        <v>10416</v>
      </c>
      <c r="E3" s="20">
        <v>18</v>
      </c>
      <c r="F3" s="21">
        <f t="shared" ref="F3:F8" si="0">D3*E3</f>
        <v>187488</v>
      </c>
      <c r="H3" s="7" t="s">
        <v>105</v>
      </c>
      <c r="I3" s="7" t="s">
        <v>106</v>
      </c>
      <c r="J3" s="7" t="s">
        <v>114</v>
      </c>
      <c r="K3" s="7" t="s">
        <v>115</v>
      </c>
      <c r="L3" s="7" t="s">
        <v>116</v>
      </c>
      <c r="M3" s="7" t="s">
        <v>117</v>
      </c>
      <c r="N3" s="7" t="s">
        <v>118</v>
      </c>
      <c r="O3" s="7" t="s">
        <v>119</v>
      </c>
    </row>
    <row r="4" spans="1:15" ht="14.25" customHeight="1" x14ac:dyDescent="0.2">
      <c r="A4" s="1" t="s">
        <v>120</v>
      </c>
      <c r="B4" s="1" t="s">
        <v>7</v>
      </c>
      <c r="C4" s="12" t="s">
        <v>113</v>
      </c>
      <c r="D4" s="1">
        <v>7689</v>
      </c>
      <c r="E4" s="20">
        <v>2</v>
      </c>
      <c r="F4" s="21">
        <f t="shared" si="0"/>
        <v>15378</v>
      </c>
      <c r="H4" s="1" t="s">
        <v>6</v>
      </c>
      <c r="I4" s="1" t="s">
        <v>113</v>
      </c>
      <c r="J4" s="1">
        <v>10416</v>
      </c>
      <c r="K4" s="21">
        <v>187488</v>
      </c>
      <c r="L4" s="22"/>
      <c r="M4" s="22"/>
      <c r="N4" s="22"/>
      <c r="O4" s="22">
        <f>6*10416</f>
        <v>62496</v>
      </c>
    </row>
    <row r="5" spans="1:15" ht="14.25" customHeight="1" x14ac:dyDescent="0.2">
      <c r="A5" s="1" t="s">
        <v>8</v>
      </c>
      <c r="B5" s="1" t="s">
        <v>121</v>
      </c>
      <c r="C5" s="1" t="s">
        <v>25</v>
      </c>
      <c r="D5" s="1">
        <v>7500</v>
      </c>
      <c r="E5" s="20">
        <v>2</v>
      </c>
      <c r="F5" s="21">
        <f t="shared" si="0"/>
        <v>15000</v>
      </c>
      <c r="H5" s="1" t="s">
        <v>7</v>
      </c>
      <c r="I5" s="12" t="s">
        <v>113</v>
      </c>
      <c r="J5" s="1">
        <v>7689</v>
      </c>
      <c r="K5" s="21">
        <v>15378</v>
      </c>
      <c r="L5" s="22">
        <f>24*7689</f>
        <v>184536</v>
      </c>
      <c r="M5" s="22">
        <f>32*7689</f>
        <v>246048</v>
      </c>
      <c r="N5" s="22">
        <f>8*7689</f>
        <v>61512</v>
      </c>
      <c r="O5" s="22">
        <f>6*7689</f>
        <v>46134</v>
      </c>
    </row>
    <row r="6" spans="1:15" ht="14.25" customHeight="1" x14ac:dyDescent="0.2">
      <c r="A6" s="1" t="s">
        <v>9</v>
      </c>
      <c r="B6" s="1" t="s">
        <v>122</v>
      </c>
      <c r="C6" s="1" t="s">
        <v>123</v>
      </c>
      <c r="D6" s="1">
        <v>6666</v>
      </c>
      <c r="E6" s="20">
        <v>2</v>
      </c>
      <c r="F6" s="21">
        <f t="shared" si="0"/>
        <v>13332</v>
      </c>
      <c r="H6" s="1" t="s">
        <v>124</v>
      </c>
      <c r="I6" s="1" t="s">
        <v>25</v>
      </c>
      <c r="J6" s="1">
        <v>7500</v>
      </c>
      <c r="K6" s="21">
        <v>15000</v>
      </c>
      <c r="L6" s="22">
        <f>8*7500</f>
        <v>60000</v>
      </c>
      <c r="M6" s="22"/>
      <c r="N6" s="22"/>
      <c r="O6" s="22">
        <f>6*7500</f>
        <v>45000</v>
      </c>
    </row>
    <row r="7" spans="1:15" ht="14.25" customHeight="1" x14ac:dyDescent="0.2">
      <c r="A7" s="1" t="s">
        <v>125</v>
      </c>
      <c r="B7" s="1" t="s">
        <v>126</v>
      </c>
      <c r="C7" s="1" t="s">
        <v>25</v>
      </c>
      <c r="D7" s="1">
        <v>7852</v>
      </c>
      <c r="E7" s="20">
        <v>2</v>
      </c>
      <c r="F7" s="21">
        <f t="shared" si="0"/>
        <v>15704</v>
      </c>
      <c r="H7" s="1" t="s">
        <v>122</v>
      </c>
      <c r="I7" s="1" t="s">
        <v>123</v>
      </c>
      <c r="J7" s="1">
        <v>6666</v>
      </c>
      <c r="K7" s="21">
        <v>13332</v>
      </c>
      <c r="L7" s="22">
        <f>6*6666</f>
        <v>39996</v>
      </c>
      <c r="M7" s="22">
        <f>18*6666</f>
        <v>119988</v>
      </c>
      <c r="N7" s="22">
        <f>40*666</f>
        <v>26640</v>
      </c>
      <c r="O7" s="22">
        <f>6*6666</f>
        <v>39996</v>
      </c>
    </row>
    <row r="8" spans="1:15" ht="14.25" customHeight="1" x14ac:dyDescent="0.2">
      <c r="A8" s="1" t="s">
        <v>11</v>
      </c>
      <c r="B8" s="1" t="s">
        <v>127</v>
      </c>
      <c r="C8" s="1" t="s">
        <v>123</v>
      </c>
      <c r="D8" s="1">
        <v>14583</v>
      </c>
      <c r="E8" s="20">
        <v>14</v>
      </c>
      <c r="F8" s="21">
        <f t="shared" si="0"/>
        <v>204162</v>
      </c>
      <c r="H8" s="1" t="s">
        <v>10</v>
      </c>
      <c r="I8" s="1" t="s">
        <v>25</v>
      </c>
      <c r="J8" s="1">
        <v>7852</v>
      </c>
      <c r="K8" s="21">
        <v>15704</v>
      </c>
      <c r="L8" s="22">
        <f>22*7852</f>
        <v>172744</v>
      </c>
      <c r="M8" s="22"/>
      <c r="N8" s="22"/>
      <c r="O8" s="22">
        <f>6*15704</f>
        <v>94224</v>
      </c>
    </row>
    <row r="9" spans="1:15" ht="14.25" customHeight="1" x14ac:dyDescent="0.2">
      <c r="A9" s="1"/>
      <c r="B9" s="28" t="s">
        <v>128</v>
      </c>
      <c r="C9" s="29"/>
      <c r="D9" s="29"/>
      <c r="E9" s="30"/>
      <c r="F9" s="21">
        <f>SUM(F3:F8)</f>
        <v>451064</v>
      </c>
      <c r="H9" s="1" t="s">
        <v>11</v>
      </c>
      <c r="I9" s="1" t="s">
        <v>123</v>
      </c>
      <c r="J9" s="1">
        <v>14583</v>
      </c>
      <c r="K9" s="21">
        <v>204162</v>
      </c>
      <c r="L9" s="22">
        <v>0</v>
      </c>
      <c r="M9" s="22"/>
      <c r="N9" s="22"/>
      <c r="O9" s="22">
        <f>32*14583</f>
        <v>466656</v>
      </c>
    </row>
    <row r="10" spans="1:15" ht="14.25" customHeight="1" x14ac:dyDescent="0.2"/>
    <row r="11" spans="1:15" ht="14.25" customHeight="1" x14ac:dyDescent="0.2"/>
    <row r="12" spans="1:15" ht="14.25" customHeight="1" x14ac:dyDescent="0.2">
      <c r="A12" s="7" t="s">
        <v>104</v>
      </c>
      <c r="B12" s="7" t="s">
        <v>105</v>
      </c>
      <c r="C12" s="7" t="s">
        <v>106</v>
      </c>
      <c r="D12" s="6" t="s">
        <v>129</v>
      </c>
      <c r="E12" s="7" t="s">
        <v>108</v>
      </c>
      <c r="F12" s="7" t="s">
        <v>130</v>
      </c>
      <c r="H12" s="31" t="s">
        <v>131</v>
      </c>
      <c r="I12" s="33"/>
    </row>
    <row r="13" spans="1:15" ht="14.25" customHeight="1" x14ac:dyDescent="0.2">
      <c r="A13" s="1" t="s">
        <v>112</v>
      </c>
      <c r="B13" s="1" t="s">
        <v>6</v>
      </c>
      <c r="C13" s="1" t="s">
        <v>113</v>
      </c>
      <c r="D13" s="1">
        <v>10416</v>
      </c>
      <c r="E13" s="20">
        <v>4</v>
      </c>
      <c r="F13" s="21">
        <f t="shared" ref="F13:F18" si="1">D13*E13</f>
        <v>41664</v>
      </c>
      <c r="H13" s="1" t="s">
        <v>6</v>
      </c>
      <c r="I13" s="21">
        <f t="shared" ref="I13:I18" si="2">F3+F13+F23+F33+F43</f>
        <v>291648</v>
      </c>
    </row>
    <row r="14" spans="1:15" ht="14.25" customHeight="1" x14ac:dyDescent="0.2">
      <c r="A14" s="1" t="s">
        <v>120</v>
      </c>
      <c r="B14" s="1" t="s">
        <v>7</v>
      </c>
      <c r="C14" s="12" t="s">
        <v>113</v>
      </c>
      <c r="D14" s="1">
        <v>7689</v>
      </c>
      <c r="E14" s="20">
        <v>14</v>
      </c>
      <c r="F14" s="21">
        <f t="shared" si="1"/>
        <v>107646</v>
      </c>
      <c r="H14" s="1" t="s">
        <v>7</v>
      </c>
      <c r="I14" s="21">
        <f t="shared" si="2"/>
        <v>891924</v>
      </c>
    </row>
    <row r="15" spans="1:15" ht="14.25" customHeight="1" x14ac:dyDescent="0.2">
      <c r="A15" s="1" t="s">
        <v>8</v>
      </c>
      <c r="B15" s="1" t="s">
        <v>121</v>
      </c>
      <c r="C15" s="1" t="s">
        <v>25</v>
      </c>
      <c r="D15" s="1">
        <v>7500</v>
      </c>
      <c r="E15" s="20">
        <v>0</v>
      </c>
      <c r="F15" s="21">
        <f t="shared" si="1"/>
        <v>0</v>
      </c>
      <c r="H15" s="1" t="s">
        <v>124</v>
      </c>
      <c r="I15" s="21">
        <f t="shared" si="2"/>
        <v>90000</v>
      </c>
    </row>
    <row r="16" spans="1:15" ht="14.25" customHeight="1" x14ac:dyDescent="0.2">
      <c r="A16" s="1" t="s">
        <v>9</v>
      </c>
      <c r="B16" s="1" t="s">
        <v>122</v>
      </c>
      <c r="C16" s="1" t="s">
        <v>123</v>
      </c>
      <c r="D16" s="1">
        <v>6666</v>
      </c>
      <c r="E16" s="20">
        <v>0</v>
      </c>
      <c r="F16" s="21">
        <f t="shared" si="1"/>
        <v>0</v>
      </c>
      <c r="H16" s="1" t="s">
        <v>122</v>
      </c>
      <c r="I16" s="21">
        <f t="shared" si="2"/>
        <v>533280</v>
      </c>
    </row>
    <row r="17" spans="1:9" ht="14.25" customHeight="1" x14ac:dyDescent="0.2">
      <c r="A17" s="1" t="s">
        <v>132</v>
      </c>
      <c r="B17" s="1" t="s">
        <v>10</v>
      </c>
      <c r="C17" s="1" t="s">
        <v>25</v>
      </c>
      <c r="D17" s="1">
        <v>7852</v>
      </c>
      <c r="E17" s="20">
        <v>44</v>
      </c>
      <c r="F17" s="21">
        <f t="shared" si="1"/>
        <v>345488</v>
      </c>
      <c r="H17" s="1" t="s">
        <v>10</v>
      </c>
      <c r="I17" s="21">
        <f t="shared" si="2"/>
        <v>408304</v>
      </c>
    </row>
    <row r="18" spans="1:9" ht="14.25" customHeight="1" x14ac:dyDescent="0.2">
      <c r="A18" s="1" t="s">
        <v>133</v>
      </c>
      <c r="B18" s="1" t="s">
        <v>127</v>
      </c>
      <c r="C18" s="1" t="s">
        <v>123</v>
      </c>
      <c r="D18" s="1">
        <v>14583</v>
      </c>
      <c r="E18" s="20">
        <v>2</v>
      </c>
      <c r="F18" s="21">
        <f t="shared" si="1"/>
        <v>29166</v>
      </c>
      <c r="H18" s="1" t="s">
        <v>133</v>
      </c>
      <c r="I18" s="21">
        <f t="shared" si="2"/>
        <v>466656</v>
      </c>
    </row>
    <row r="19" spans="1:9" ht="14.25" customHeight="1" x14ac:dyDescent="0.2">
      <c r="A19" s="1"/>
      <c r="B19" s="28" t="s">
        <v>134</v>
      </c>
      <c r="C19" s="29"/>
      <c r="D19" s="29"/>
      <c r="E19" s="30"/>
      <c r="F19" s="21">
        <f>SUM(F13:F17)</f>
        <v>494798</v>
      </c>
      <c r="H19" s="23" t="s">
        <v>135</v>
      </c>
      <c r="I19" s="24">
        <f>SUM(I13:I17)</f>
        <v>2215156</v>
      </c>
    </row>
    <row r="20" spans="1:9" ht="14.25" customHeight="1" x14ac:dyDescent="0.2"/>
    <row r="21" spans="1:9" ht="14.25" customHeight="1" x14ac:dyDescent="0.2"/>
    <row r="22" spans="1:9" ht="14.25" customHeight="1" x14ac:dyDescent="0.2">
      <c r="A22" s="7" t="s">
        <v>104</v>
      </c>
      <c r="B22" s="7" t="s">
        <v>105</v>
      </c>
      <c r="C22" s="7" t="s">
        <v>106</v>
      </c>
      <c r="D22" s="6" t="s">
        <v>129</v>
      </c>
      <c r="E22" s="7" t="s">
        <v>108</v>
      </c>
      <c r="F22" s="7" t="s">
        <v>136</v>
      </c>
      <c r="H22" s="31" t="s">
        <v>137</v>
      </c>
      <c r="I22" s="33"/>
    </row>
    <row r="23" spans="1:9" ht="14.25" customHeight="1" x14ac:dyDescent="0.2">
      <c r="A23" s="1" t="s">
        <v>112</v>
      </c>
      <c r="B23" s="1" t="s">
        <v>6</v>
      </c>
      <c r="C23" s="1" t="s">
        <v>113</v>
      </c>
      <c r="D23" s="1">
        <v>10416</v>
      </c>
      <c r="E23" s="20">
        <v>0</v>
      </c>
      <c r="F23" s="21">
        <f t="shared" ref="F23:F28" si="3">D23*E23</f>
        <v>0</v>
      </c>
      <c r="H23" s="1" t="s">
        <v>5</v>
      </c>
      <c r="I23" s="21">
        <f>F9</f>
        <v>451064</v>
      </c>
    </row>
    <row r="24" spans="1:9" ht="14.25" customHeight="1" x14ac:dyDescent="0.2">
      <c r="A24" s="1" t="s">
        <v>120</v>
      </c>
      <c r="B24" s="1" t="s">
        <v>7</v>
      </c>
      <c r="C24" s="12" t="s">
        <v>113</v>
      </c>
      <c r="D24" s="1">
        <v>7689</v>
      </c>
      <c r="E24" s="20">
        <v>64</v>
      </c>
      <c r="F24" s="21">
        <f t="shared" si="3"/>
        <v>492096</v>
      </c>
      <c r="H24" s="1" t="s">
        <v>138</v>
      </c>
      <c r="I24" s="21">
        <f>F19</f>
        <v>494798</v>
      </c>
    </row>
    <row r="25" spans="1:9" ht="14.25" customHeight="1" x14ac:dyDescent="0.2">
      <c r="A25" s="1" t="s">
        <v>8</v>
      </c>
      <c r="B25" s="1" t="s">
        <v>121</v>
      </c>
      <c r="C25" s="1" t="s">
        <v>25</v>
      </c>
      <c r="D25" s="1">
        <v>7500</v>
      </c>
      <c r="E25" s="20">
        <v>0</v>
      </c>
      <c r="F25" s="21">
        <f t="shared" si="3"/>
        <v>0</v>
      </c>
      <c r="H25" s="1" t="s">
        <v>52</v>
      </c>
      <c r="I25" s="21">
        <f>F29</f>
        <v>758736</v>
      </c>
    </row>
    <row r="26" spans="1:9" ht="14.25" customHeight="1" x14ac:dyDescent="0.2">
      <c r="A26" s="1" t="s">
        <v>9</v>
      </c>
      <c r="B26" s="1" t="s">
        <v>122</v>
      </c>
      <c r="C26" s="1" t="s">
        <v>123</v>
      </c>
      <c r="D26" s="1">
        <v>6666</v>
      </c>
      <c r="E26" s="20">
        <v>40</v>
      </c>
      <c r="F26" s="21">
        <f t="shared" si="3"/>
        <v>266640</v>
      </c>
      <c r="H26" s="1" t="s">
        <v>139</v>
      </c>
      <c r="I26" s="21">
        <f>F39</f>
        <v>294294</v>
      </c>
    </row>
    <row r="27" spans="1:9" ht="14.25" customHeight="1" x14ac:dyDescent="0.2">
      <c r="A27" s="1" t="s">
        <v>132</v>
      </c>
      <c r="B27" s="1" t="s">
        <v>10</v>
      </c>
      <c r="C27" s="1" t="s">
        <v>25</v>
      </c>
      <c r="D27" s="1">
        <v>7852</v>
      </c>
      <c r="E27" s="20">
        <v>0</v>
      </c>
      <c r="F27" s="21">
        <f t="shared" si="3"/>
        <v>0</v>
      </c>
      <c r="H27" s="1" t="s">
        <v>140</v>
      </c>
      <c r="I27" s="21">
        <f>F49</f>
        <v>653754</v>
      </c>
    </row>
    <row r="28" spans="1:9" ht="14.25" customHeight="1" x14ac:dyDescent="0.2">
      <c r="A28" s="1" t="s">
        <v>133</v>
      </c>
      <c r="B28" s="1" t="s">
        <v>127</v>
      </c>
      <c r="C28" s="1" t="s">
        <v>141</v>
      </c>
      <c r="D28" s="1">
        <v>14583</v>
      </c>
      <c r="E28" s="20"/>
      <c r="F28" s="21">
        <f t="shared" si="3"/>
        <v>0</v>
      </c>
      <c r="H28" s="1"/>
      <c r="I28" s="21"/>
    </row>
    <row r="29" spans="1:9" ht="14.25" customHeight="1" x14ac:dyDescent="0.2">
      <c r="A29" s="1"/>
      <c r="B29" s="28" t="s">
        <v>142</v>
      </c>
      <c r="C29" s="29"/>
      <c r="D29" s="29"/>
      <c r="E29" s="30"/>
      <c r="F29" s="21">
        <f>SUM(F23:F27)</f>
        <v>758736</v>
      </c>
      <c r="H29" s="23" t="s">
        <v>143</v>
      </c>
      <c r="I29" s="24">
        <f>SUM(I23:I27)</f>
        <v>2652646</v>
      </c>
    </row>
    <row r="30" spans="1:9" ht="14.25" customHeight="1" x14ac:dyDescent="0.2"/>
    <row r="31" spans="1:9" ht="14.25" customHeight="1" x14ac:dyDescent="0.2"/>
    <row r="32" spans="1:9" ht="14.25" customHeight="1" x14ac:dyDescent="0.2">
      <c r="A32" s="7" t="s">
        <v>104</v>
      </c>
      <c r="B32" s="7" t="s">
        <v>105</v>
      </c>
      <c r="C32" s="7" t="s">
        <v>106</v>
      </c>
      <c r="D32" s="6" t="s">
        <v>129</v>
      </c>
      <c r="E32" s="7" t="s">
        <v>108</v>
      </c>
      <c r="F32" s="7" t="s">
        <v>144</v>
      </c>
      <c r="H32" s="7" t="s">
        <v>145</v>
      </c>
      <c r="I32" s="19">
        <v>0.6</v>
      </c>
    </row>
    <row r="33" spans="1:9" ht="14.25" customHeight="1" x14ac:dyDescent="0.2">
      <c r="A33" s="1" t="s">
        <v>112</v>
      </c>
      <c r="B33" s="1" t="s">
        <v>6</v>
      </c>
      <c r="C33" s="1" t="s">
        <v>113</v>
      </c>
      <c r="D33" s="1">
        <v>10416</v>
      </c>
      <c r="E33" s="20">
        <v>0</v>
      </c>
      <c r="F33" s="21">
        <f t="shared" ref="F33:F38" si="4">D33*E33</f>
        <v>0</v>
      </c>
      <c r="H33" s="1" t="s">
        <v>146</v>
      </c>
      <c r="I33" s="21">
        <f>I29*I32</f>
        <v>1591587.5999999999</v>
      </c>
    </row>
    <row r="34" spans="1:9" ht="14.25" customHeight="1" x14ac:dyDescent="0.2">
      <c r="A34" s="1" t="s">
        <v>120</v>
      </c>
      <c r="B34" s="1" t="s">
        <v>7</v>
      </c>
      <c r="C34" s="12" t="s">
        <v>113</v>
      </c>
      <c r="D34" s="1">
        <v>7689</v>
      </c>
      <c r="E34" s="20">
        <v>14</v>
      </c>
      <c r="F34" s="21">
        <f t="shared" si="4"/>
        <v>107646</v>
      </c>
      <c r="H34" s="1" t="s">
        <v>147</v>
      </c>
      <c r="I34" s="21">
        <f>I29+I33</f>
        <v>4244233.5999999996</v>
      </c>
    </row>
    <row r="35" spans="1:9" ht="14.25" customHeight="1" x14ac:dyDescent="0.2">
      <c r="A35" s="1" t="s">
        <v>8</v>
      </c>
      <c r="B35" s="1" t="s">
        <v>121</v>
      </c>
      <c r="C35" s="1" t="s">
        <v>25</v>
      </c>
      <c r="D35" s="1">
        <v>7500</v>
      </c>
      <c r="E35" s="20">
        <v>0</v>
      </c>
      <c r="F35" s="21">
        <f t="shared" si="4"/>
        <v>0</v>
      </c>
    </row>
    <row r="36" spans="1:9" ht="14.25" customHeight="1" x14ac:dyDescent="0.2">
      <c r="A36" s="1" t="s">
        <v>9</v>
      </c>
      <c r="B36" s="1" t="s">
        <v>122</v>
      </c>
      <c r="C36" s="1" t="s">
        <v>123</v>
      </c>
      <c r="D36" s="1">
        <v>6666</v>
      </c>
      <c r="E36" s="20">
        <v>28</v>
      </c>
      <c r="F36" s="21">
        <f t="shared" si="4"/>
        <v>186648</v>
      </c>
    </row>
    <row r="37" spans="1:9" ht="14.25" customHeight="1" x14ac:dyDescent="0.2">
      <c r="A37" s="1" t="s">
        <v>132</v>
      </c>
      <c r="B37" s="1" t="s">
        <v>10</v>
      </c>
      <c r="C37" s="1" t="s">
        <v>25</v>
      </c>
      <c r="D37" s="1">
        <v>7852</v>
      </c>
      <c r="E37" s="20">
        <v>0</v>
      </c>
      <c r="F37" s="21">
        <f t="shared" si="4"/>
        <v>0</v>
      </c>
    </row>
    <row r="38" spans="1:9" ht="14.25" customHeight="1" x14ac:dyDescent="0.2">
      <c r="A38" s="1" t="s">
        <v>133</v>
      </c>
      <c r="B38" s="1" t="s">
        <v>127</v>
      </c>
      <c r="C38" s="1" t="s">
        <v>123</v>
      </c>
      <c r="D38" s="1">
        <v>14583</v>
      </c>
      <c r="E38" s="20">
        <v>0</v>
      </c>
      <c r="F38" s="21">
        <f t="shared" si="4"/>
        <v>0</v>
      </c>
    </row>
    <row r="39" spans="1:9" ht="14.25" customHeight="1" x14ac:dyDescent="0.2">
      <c r="A39" s="1"/>
      <c r="B39" s="28" t="s">
        <v>148</v>
      </c>
      <c r="C39" s="29"/>
      <c r="D39" s="29"/>
      <c r="E39" s="30"/>
      <c r="F39" s="21">
        <f>SUM(F33:F37)</f>
        <v>294294</v>
      </c>
    </row>
    <row r="40" spans="1:9" ht="14.25" customHeight="1" x14ac:dyDescent="0.2"/>
    <row r="41" spans="1:9" ht="14.25" customHeight="1" x14ac:dyDescent="0.2"/>
    <row r="42" spans="1:9" ht="14.25" customHeight="1" x14ac:dyDescent="0.2">
      <c r="A42" s="7" t="s">
        <v>104</v>
      </c>
      <c r="B42" s="7" t="s">
        <v>105</v>
      </c>
      <c r="C42" s="7" t="s">
        <v>106</v>
      </c>
      <c r="D42" s="6" t="s">
        <v>129</v>
      </c>
      <c r="E42" s="7" t="s">
        <v>108</v>
      </c>
      <c r="F42" s="6" t="s">
        <v>149</v>
      </c>
    </row>
    <row r="43" spans="1:9" ht="14.25" customHeight="1" x14ac:dyDescent="0.2">
      <c r="A43" s="1" t="s">
        <v>112</v>
      </c>
      <c r="B43" s="1" t="s">
        <v>6</v>
      </c>
      <c r="C43" s="1" t="s">
        <v>113</v>
      </c>
      <c r="D43" s="1">
        <v>10416</v>
      </c>
      <c r="E43" s="20">
        <v>6</v>
      </c>
      <c r="F43" s="21">
        <f t="shared" ref="F43:F48" si="5">D43*E43</f>
        <v>62496</v>
      </c>
    </row>
    <row r="44" spans="1:9" ht="14.25" customHeight="1" x14ac:dyDescent="0.2">
      <c r="A44" s="1" t="s">
        <v>120</v>
      </c>
      <c r="B44" s="1" t="s">
        <v>7</v>
      </c>
      <c r="C44" s="12" t="s">
        <v>113</v>
      </c>
      <c r="D44" s="1">
        <v>7689</v>
      </c>
      <c r="E44" s="20">
        <v>22</v>
      </c>
      <c r="F44" s="21">
        <f t="shared" si="5"/>
        <v>169158</v>
      </c>
    </row>
    <row r="45" spans="1:9" ht="14.25" customHeight="1" x14ac:dyDescent="0.2">
      <c r="A45" s="1" t="s">
        <v>8</v>
      </c>
      <c r="B45" s="1" t="s">
        <v>121</v>
      </c>
      <c r="C45" s="1" t="s">
        <v>25</v>
      </c>
      <c r="D45" s="1">
        <v>7500</v>
      </c>
      <c r="E45" s="20">
        <v>10</v>
      </c>
      <c r="F45" s="21">
        <f t="shared" si="5"/>
        <v>75000</v>
      </c>
    </row>
    <row r="46" spans="1:9" ht="14.25" customHeight="1" x14ac:dyDescent="0.2">
      <c r="A46" s="1" t="s">
        <v>9</v>
      </c>
      <c r="B46" s="1" t="s">
        <v>122</v>
      </c>
      <c r="C46" s="1" t="s">
        <v>123</v>
      </c>
      <c r="D46" s="1">
        <v>6666</v>
      </c>
      <c r="E46" s="20">
        <v>10</v>
      </c>
      <c r="F46" s="21">
        <f t="shared" si="5"/>
        <v>66660</v>
      </c>
    </row>
    <row r="47" spans="1:9" ht="14.25" customHeight="1" x14ac:dyDescent="0.2">
      <c r="A47" s="1" t="s">
        <v>132</v>
      </c>
      <c r="B47" s="1" t="s">
        <v>10</v>
      </c>
      <c r="C47" s="1" t="s">
        <v>25</v>
      </c>
      <c r="D47" s="1">
        <v>7852</v>
      </c>
      <c r="E47" s="20">
        <v>6</v>
      </c>
      <c r="F47" s="21">
        <f t="shared" si="5"/>
        <v>47112</v>
      </c>
    </row>
    <row r="48" spans="1:9" ht="14.25" customHeight="1" x14ac:dyDescent="0.2">
      <c r="A48" s="1" t="s">
        <v>133</v>
      </c>
      <c r="B48" s="1" t="s">
        <v>127</v>
      </c>
      <c r="C48" s="1" t="s">
        <v>123</v>
      </c>
      <c r="D48" s="1">
        <v>14583</v>
      </c>
      <c r="E48" s="20">
        <v>16</v>
      </c>
      <c r="F48" s="21">
        <f t="shared" si="5"/>
        <v>233328</v>
      </c>
    </row>
    <row r="49" spans="1:6" ht="14.25" customHeight="1" x14ac:dyDescent="0.2">
      <c r="A49" s="1"/>
      <c r="B49" s="28" t="s">
        <v>150</v>
      </c>
      <c r="C49" s="29"/>
      <c r="D49" s="29"/>
      <c r="E49" s="30"/>
      <c r="F49" s="21">
        <f>SUM(F43:F48)</f>
        <v>653754</v>
      </c>
    </row>
    <row r="50" spans="1:6" ht="14.25" customHeight="1" x14ac:dyDescent="0.2"/>
    <row r="51" spans="1:6" ht="14.25" customHeight="1" x14ac:dyDescent="0.2"/>
    <row r="52" spans="1:6" ht="14.25" customHeight="1" x14ac:dyDescent="0.2"/>
    <row r="53" spans="1:6" ht="14.25" customHeight="1" x14ac:dyDescent="0.2"/>
    <row r="54" spans="1:6" ht="14.25" customHeight="1" x14ac:dyDescent="0.2"/>
    <row r="55" spans="1:6" ht="14.25" customHeight="1" x14ac:dyDescent="0.2"/>
    <row r="56" spans="1:6" ht="14.25" customHeight="1" x14ac:dyDescent="0.2"/>
    <row r="57" spans="1:6" ht="14.25" customHeight="1" x14ac:dyDescent="0.2"/>
    <row r="58" spans="1:6" ht="14.25" customHeight="1" x14ac:dyDescent="0.2"/>
    <row r="59" spans="1:6" ht="14.25" customHeight="1" x14ac:dyDescent="0.2"/>
    <row r="60" spans="1:6" ht="14.25" customHeight="1" x14ac:dyDescent="0.2"/>
    <row r="61" spans="1:6" ht="14.25" customHeight="1" x14ac:dyDescent="0.2"/>
    <row r="62" spans="1:6" ht="14.25" customHeight="1" x14ac:dyDescent="0.2"/>
    <row r="63" spans="1:6" ht="14.25" customHeight="1" x14ac:dyDescent="0.2"/>
    <row r="64" spans="1:6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</sheetData>
  <mergeCells count="9">
    <mergeCell ref="B39:E39"/>
    <mergeCell ref="B49:E49"/>
    <mergeCell ref="H2:K2"/>
    <mergeCell ref="L2:O2"/>
    <mergeCell ref="B9:E9"/>
    <mergeCell ref="H12:I12"/>
    <mergeCell ref="B19:E19"/>
    <mergeCell ref="H22:I22"/>
    <mergeCell ref="B29:E29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EDT</vt:lpstr>
      <vt:lpstr>Costos Fases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Galan Cruz</dc:creator>
  <cp:lastModifiedBy>Office</cp:lastModifiedBy>
  <dcterms:created xsi:type="dcterms:W3CDTF">2018-01-25T19:02:19Z</dcterms:created>
  <dcterms:modified xsi:type="dcterms:W3CDTF">2025-09-30T03:32:56Z</dcterms:modified>
</cp:coreProperties>
</file>